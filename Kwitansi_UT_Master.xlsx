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ME" state="visible" r:id="rId4"/>
    <sheet sheetId="2" name="DB_MAHASISWA" state="visible" r:id="rId5"/>
    <sheet sheetId="3" name="LOG_TRANSAKSI" state="visible" r:id="rId6"/>
    <sheet sheetId="4" name="FORM_INPUT" state="visible" r:id="rId7"/>
    <sheet sheetId="5" name="CETAK_KWITANSI" state="visible" r:id="rId8"/>
    <sheet sheetId="6" name="PENGATURAN" state="visible" r:id="rId9"/>
  </sheets>
  <calcPr calcId="171027"/>
</workbook>
</file>

<file path=xl/sharedStrings.xml><?xml version="1.0" encoding="utf-8"?>
<sst xmlns="http://schemas.openxmlformats.org/spreadsheetml/2006/main" count="60" uniqueCount="56">
  <si>
    <t>MENU UTAMA KWITANSI UT</t>
  </si>
  <si>
    <t>NIM</t>
  </si>
  <si>
    <t>Nama_Lengkap</t>
  </si>
  <si>
    <t>NIK</t>
  </si>
  <si>
    <t>Tempat_Tanggal_Lahir</t>
  </si>
  <si>
    <t>No_WA</t>
  </si>
  <si>
    <t>Prodi</t>
  </si>
  <si>
    <t>Fakultas</t>
  </si>
  <si>
    <t>UPBJJ</t>
  </si>
  <si>
    <t>Status</t>
  </si>
  <si>
    <t>041234567</t>
  </si>
  <si>
    <t>Budi Santoso</t>
  </si>
  <si>
    <t>320123456789</t>
  </si>
  <si>
    <t>Jakarta, 01-01-2000</t>
  </si>
  <si>
    <t>0812345678</t>
  </si>
  <si>
    <t>Sistem Informasi</t>
  </si>
  <si>
    <t>FST</t>
  </si>
  <si>
    <t>Bogor</t>
  </si>
  <si>
    <t>Aktif</t>
  </si>
  <si>
    <t>No_Kwitansi</t>
  </si>
  <si>
    <t>Tanggal_Transaksi</t>
  </si>
  <si>
    <t>Petugas_TU</t>
  </si>
  <si>
    <t>Masa_Registrasi</t>
  </si>
  <si>
    <t>Komponen_Biaya</t>
  </si>
  <si>
    <t>Kode_Billing</t>
  </si>
  <si>
    <t>Nominal</t>
  </si>
  <si>
    <t>Keterangan</t>
  </si>
  <si>
    <t>FORM INPUT KASIR TU</t>
  </si>
  <si>
    <t>No Kwitansi:</t>
  </si>
  <si>
    <t>UT-2026-0001</t>
  </si>
  <si>
    <t>NIM Mahasiswa:</t>
  </si>
  <si>
    <t>Nama:</t>
  </si>
  <si>
    <t>Prodi:</t>
  </si>
  <si>
    <t>Masa Registrasi:</t>
  </si>
  <si>
    <t>2025.2</t>
  </si>
  <si>
    <t>Komponen Biaya:</t>
  </si>
  <si>
    <t>Uang Kuliah</t>
  </si>
  <si>
    <t>Nominal:</t>
  </si>
  <si>
    <t>Kode Billing:</t>
  </si>
  <si>
    <t>1234567890</t>
  </si>
  <si>
    <t>Keterangan:</t>
  </si>
  <si>
    <t>Lunas</t>
  </si>
  <si>
    <t>Petugas TU:</t>
  </si>
  <si>
    <t>Admin TU</t>
  </si>
  <si>
    <t>KWITANSI PEMBAYARAN UT</t>
  </si>
  <si>
    <t>No:</t>
  </si>
  <si>
    <t>Sudah Terima Dari:</t>
  </si>
  <si>
    <t>Sejumlah:</t>
  </si>
  <si>
    <t>Untuk Pembayaran:</t>
  </si>
  <si>
    <t>Total:</t>
  </si>
  <si>
    <t>Daftar Prodi</t>
  </si>
  <si>
    <t>Daftar Komponen</t>
  </si>
  <si>
    <t>Ilmu Hukum</t>
  </si>
  <si>
    <t>Pendaftaran</t>
  </si>
  <si>
    <t>Manajemen</t>
  </si>
  <si>
    <t>Sertifikat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</si>
</sst>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20"/>
    </font>
    <font>
      <b/>
    </font>
    <font>
      <b/>
      <sz val="16"/>
    </font>
    <font>
      <b/>
      <sz val="1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25" customWidth="1"/>
    <col min="5" max="5" width="15" customWidth="1"/>
    <col min="6" max="6" width="20" customWidth="1"/>
    <col min="7" max="7" width="10" customWidth="1"/>
    <col min="8" max="8" width="15" customWidth="1"/>
    <col min="9" max="9" width="10" customWidth="1"/>
  </cols>
  <sheetData>
    <row r="1" spans="1:9" s="2" customFormat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5" width="15" customWidth="1"/>
    <col min="6" max="6" width="20" customWidth="1"/>
    <col min="7" max="8" width="15" customWidth="1"/>
    <col min="9" max="9" width="20" customWidth="1"/>
  </cols>
  <sheetData>
    <row r="1" spans="1:9" s="2" customFormat="1" x14ac:dyDescent="0.25">
      <c r="A1" s="2" t="s">
        <v>19</v>
      </c>
      <c r="B1" s="2" t="s">
        <v>20</v>
      </c>
      <c r="C1" s="2" t="s">
        <v>21</v>
      </c>
      <c r="D1" s="2" t="s">
        <v>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9"/>
  <sheetFormatPr defaultRowHeight="15" outlineLevelRow="0" outlineLevelCol="0" x14ac:dyDescent="55"/>
  <sheetData>
    <row r="2" spans="2:2" x14ac:dyDescent="0.25">
      <c r="B2" s="3" t="s">
        <v>27</v>
      </c>
    </row>
    <row r="5" spans="3:4" x14ac:dyDescent="0.25">
      <c r="C5" t="s">
        <v>28</v>
      </c>
      <c r="D5" t="s">
        <v>29</v>
      </c>
    </row>
    <row r="7" spans="3:4" x14ac:dyDescent="0.25">
      <c r="C7" t="s">
        <v>30</v>
      </c>
      <c r="D7" t="s">
        <v>10</v>
      </c>
    </row>
    <row r="8" spans="3:4" x14ac:dyDescent="0.25">
      <c r="C8" t="s">
        <v>31</v>
      </c>
      <c r="D8">
        <f>=IFERROR(VLOOKUP(D7,DB_MAHASISWA!A:B,2,FALSE),"BELUM ADA")</f>
      </c>
    </row>
    <row r="9" spans="3:4" x14ac:dyDescent="0.25">
      <c r="C9" t="s">
        <v>32</v>
      </c>
      <c r="D9">
        <f>=IFERROR(VLOOKUP(D7,DB_MAHASISWA!A:F,6,FALSE),"-")</f>
      </c>
    </row>
    <row r="13" spans="3:4" x14ac:dyDescent="0.25">
      <c r="C13" t="s">
        <v>33</v>
      </c>
      <c r="D13" t="s">
        <v>34</v>
      </c>
    </row>
    <row r="14" spans="3:4" x14ac:dyDescent="0.25">
      <c r="C14" t="s">
        <v>35</v>
      </c>
      <c r="D14" t="s">
        <v>36</v>
      </c>
    </row>
    <row r="15" spans="3:4" x14ac:dyDescent="0.25">
      <c r="C15" t="s">
        <v>37</v>
      </c>
      <c r="D15">
        <v>1500000</v>
      </c>
    </row>
    <row r="16" spans="3:4" x14ac:dyDescent="0.25">
      <c r="C16" t="s">
        <v>38</v>
      </c>
      <c r="D16" t="s">
        <v>39</v>
      </c>
    </row>
    <row r="17" spans="3:4" x14ac:dyDescent="0.25">
      <c r="C17" t="s">
        <v>40</v>
      </c>
      <c r="D17" t="s">
        <v>41</v>
      </c>
    </row>
    <row r="19" spans="3:4" x14ac:dyDescent="0.25">
      <c r="C19" t="s">
        <v>42</v>
      </c>
      <c r="D19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"/>
  <sheetFormatPr defaultRowHeight="15" outlineLevelRow="0" outlineLevelCol="0" x14ac:dyDescent="55"/>
  <sheetData>
    <row r="2" spans="2:2" x14ac:dyDescent="0.25">
      <c r="B2" s="4" t="s">
        <v>44</v>
      </c>
    </row>
    <row r="4" spans="2:3" x14ac:dyDescent="0.25">
      <c r="B4" t="s">
        <v>45</v>
      </c>
      <c r="C4">
        <f>=FORM_INPUT!D5</f>
      </c>
    </row>
    <row r="6" spans="2:4" x14ac:dyDescent="0.25">
      <c r="B6" t="s">
        <v>46</v>
      </c>
      <c r="D6">
        <f>=FORM_INPUT!D8</f>
      </c>
    </row>
    <row r="8" spans="2:4" x14ac:dyDescent="0.25">
      <c r="B8" t="s">
        <v>47</v>
      </c>
      <c r="D8">
        <f>=PROPER(Terbilang(FORM_INPUT!D15)) &amp; " Rupiah"</f>
      </c>
    </row>
    <row r="10" spans="2:4" x14ac:dyDescent="0.25">
      <c r="B10" t="s">
        <v>48</v>
      </c>
      <c r="D10">
        <f>=FORM_INPUT!D14 &amp; " Masa " &amp; FORM_INPUT!D13</f>
      </c>
    </row>
    <row r="12" spans="2:4" x14ac:dyDescent="0.25">
      <c r="B12" t="s">
        <v>49</v>
      </c>
      <c r="D12" s="5">
        <f>=FORM_INPUT!D15</f>
      </c>
    </row>
  </sheetData>
  <pageMargins left="0.7" right="0.7" top="0.75" bottom="0.75" header="0.3" footer="0.3"/>
  <pageSetup paperSize="11" orientation="landscape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50</v>
      </c>
      <c r="C1" t="s">
        <v>51</v>
      </c>
    </row>
    <row r="2" spans="1:3" x14ac:dyDescent="0.25">
      <c r="A2" t="s">
        <v>15</v>
      </c>
      <c r="C2" t="s">
        <v>36</v>
      </c>
    </row>
    <row r="3" spans="1:3" x14ac:dyDescent="0.25">
      <c r="A3" t="s">
        <v>52</v>
      </c>
      <c r="C3" t="s">
        <v>53</v>
      </c>
    </row>
    <row r="4" spans="1:3" x14ac:dyDescent="0.25">
      <c r="A4" t="s">
        <v>54</v>
      </c>
      <c r="C4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</vt:lpstr>
      <vt:lpstr>DB_MAHASISWA</vt:lpstr>
      <vt:lpstr>LOG_TRANSAKSI</vt:lpstr>
      <vt:lpstr>FORM_INPUT</vt:lpstr>
      <vt:lpstr>CETAK_KWITANSI</vt:lpstr>
      <vt:lpstr>PENGATURAN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2026-04-09T03:36:20Z</dcterms:created>
  <dcterms:modified xsi:type="dcterms:W3CDTF">2026-04-09T03:36:20Z</dcterms:modified>
</cp:coreProperties>
</file>